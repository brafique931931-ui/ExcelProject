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8_{2B5EE6A7-536D-4014-9C88-6C372464A125}" xr6:coauthVersionLast="47" xr6:coauthVersionMax="47" xr10:uidLastSave="{00000000-0000-0000-0000-000000000000}"/>
  <bookViews>
    <workbookView xWindow="-110" yWindow="-110" windowWidth="19420" windowHeight="12220" xr2:uid="{00000000-000D-0000-FFFF-FFFF00000000}"/>
  </bookViews>
  <sheets>
    <sheet name="DASHBOARD" sheetId="2" r:id="rId1"/>
    <sheet name="Sales Performance" sheetId="1" r:id="rId2"/>
  </sheets>
  <definedNames>
    <definedName name="Slicer_Region">#N/A</definedName>
  </definedNames>
  <calcPr calcId="0"/>
  <pivotCaches>
    <pivotCache cacheId="5"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Lst>
</workbook>
</file>

<file path=xl/sharedStrings.xml><?xml version="1.0" encoding="utf-8"?>
<sst xmlns="http://schemas.openxmlformats.org/spreadsheetml/2006/main" count="96" uniqueCount="66">
  <si>
    <t>Emp Code</t>
  </si>
  <si>
    <t>Sales Executive</t>
  </si>
  <si>
    <t>Region</t>
  </si>
  <si>
    <t>Day1</t>
  </si>
  <si>
    <t>Day2</t>
  </si>
  <si>
    <t>Day3</t>
  </si>
  <si>
    <t>Day4</t>
  </si>
  <si>
    <t>Day5</t>
  </si>
  <si>
    <t>Total Sales</t>
  </si>
  <si>
    <t>Target</t>
  </si>
  <si>
    <t>Target Hit %</t>
  </si>
  <si>
    <t>Away From Target %</t>
  </si>
  <si>
    <t>Mum-TCL001</t>
  </si>
  <si>
    <t>Raj Verma</t>
  </si>
  <si>
    <t>Mumbai</t>
  </si>
  <si>
    <t>Mum-TCL002</t>
  </si>
  <si>
    <t>Tanuja Kale</t>
  </si>
  <si>
    <t>Delhi</t>
  </si>
  <si>
    <t>Mum-TCL003</t>
  </si>
  <si>
    <t>Arvind Sharma</t>
  </si>
  <si>
    <t>Nagpur</t>
  </si>
  <si>
    <t>Mum-TCL004</t>
  </si>
  <si>
    <t>Tahira Qureshi</t>
  </si>
  <si>
    <t>Chennai</t>
  </si>
  <si>
    <t>Mum-TCL005</t>
  </si>
  <si>
    <t>Anuj Sharma</t>
  </si>
  <si>
    <t>Pune</t>
  </si>
  <si>
    <t>Mum-TCL006</t>
  </si>
  <si>
    <t>Syed Sohail</t>
  </si>
  <si>
    <t>Patna</t>
  </si>
  <si>
    <t>Mum-TCL007</t>
  </si>
  <si>
    <t>Syed Saqib</t>
  </si>
  <si>
    <t>Ranchi</t>
  </si>
  <si>
    <t>Mum-TCL008</t>
  </si>
  <si>
    <t>Syed Naved</t>
  </si>
  <si>
    <t>Surat</t>
  </si>
  <si>
    <t>Mum-TCL009</t>
  </si>
  <si>
    <t>Swarnlata Borse</t>
  </si>
  <si>
    <t>Mum-TCL010</t>
  </si>
  <si>
    <t>Sushma Khandelwal</t>
  </si>
  <si>
    <t>Mum-TCL011</t>
  </si>
  <si>
    <t>Surendranath Thakur</t>
  </si>
  <si>
    <t>Mum-TCL012</t>
  </si>
  <si>
    <t>Surendra Kumar</t>
  </si>
  <si>
    <t>Mum-TCL013</t>
  </si>
  <si>
    <t>Sunita Madnani</t>
  </si>
  <si>
    <t>Mum-TCL014</t>
  </si>
  <si>
    <t>Sunita Chawla</t>
  </si>
  <si>
    <t>Mum-TCL015</t>
  </si>
  <si>
    <t>Sunil Kumar</t>
  </si>
  <si>
    <t>Mum-TCL016</t>
  </si>
  <si>
    <t>Sudhir Kumar</t>
  </si>
  <si>
    <t>Mum-TCL017</t>
  </si>
  <si>
    <t>Sudama Kumar</t>
  </si>
  <si>
    <t>Mum-TCL018</t>
  </si>
  <si>
    <t>Sonaram Munda</t>
  </si>
  <si>
    <t>Mum-TCL019</t>
  </si>
  <si>
    <t>Sneh Khan</t>
  </si>
  <si>
    <t>Mum-TCL020</t>
  </si>
  <si>
    <t>Shyamal Malakar</t>
  </si>
  <si>
    <t>Mum-TCL021</t>
  </si>
  <si>
    <t>Shubhanjali Joshi</t>
  </si>
  <si>
    <t xml:space="preserve">Total Sales </t>
  </si>
  <si>
    <t>Target Hit % wise</t>
  </si>
  <si>
    <t>Sum of Away From Target %</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</si>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</sst>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color rgb="FF000000"/>
      <name val="Calibri"/>
    </font>
  </fonts>
  <fills count="4">
    <fill>
      <patternFill patternType="none"/>
    </fill>
    <fill>
      <patternFill patternType="gray125"/>
    </fill>
    <fill>
      <patternFill patternType="solid">
        <fgColor rgb="FFFFFF00"/>
        <bgColor rgb="FFFFFF00"/>
      </patternFill>
    </fill>
    <fill>
      <patternFill patternType="solid">
        <fgColor theme="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center"/>
    </xf>
    <xf numFmtId="0" fontId="0" fillId="0" borderId="1" xfId="0" applyBorder="1" applyAlignment="1">
      <alignment horizontal="center" vertical="center"/>
    </xf>
    <xf numFmtId="10" fontId="0" fillId="0" borderId="1" xfId="0" applyNumberFormat="1" applyBorder="1" applyAlignment="1">
      <alignment horizontal="center" vertical="center"/>
    </xf>
    <xf numFmtId="0" fontId="0" fillId="0" borderId="0" xfId="0" applyAlignment="1">
      <alignment horizontal="center" vertical="center"/>
    </xf>
    <xf numFmtId="0" fontId="0" fillId="0" borderId="0" xfId="0" applyAlignment="1">
      <alignment horizontal="left"/>
    </xf>
    <xf numFmtId="0" fontId="0" fillId="0" borderId="0" xfId="0" applyNumberFormat="1"/>
    <xf numFmtId="0" fontId="0" fillId="0" borderId="0" xfId="0" applyAlignment="1">
      <alignment horizontal="center"/>
    </xf>
    <xf numFmtId="0" fontId="0" fillId="0" borderId="0" xfId="0" applyNumberFormat="1" applyAlignment="1">
      <alignment horizontal="center"/>
    </xf>
    <xf numFmtId="10" fontId="0" fillId="0" borderId="0" xfId="0" applyNumberFormat="1" applyAlignment="1">
      <alignment horizontal="center"/>
    </xf>
    <xf numFmtId="0" fontId="0" fillId="3" borderId="0" xfId="0" applyFill="1"/>
    <xf numFmtId="0" fontId="0" fillId="3" borderId="0" xfId="0" applyFill="1" applyAlignment="1">
      <alignment horizontal="center"/>
    </xf>
  </cellXfs>
  <cellStyles count="1">
    <cellStyle name="Normal" xfId="0" builtinId="0"/>
  </cellStyles>
  <dxfs count="824">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fill>
        <patternFill>
          <bgColor theme="5" tint="0.39994506668294322"/>
        </patternFill>
      </fill>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s>
  <tableStyles count="1" defaultTableStyle="TableStyleMedium9" defaultPivotStyle="PivotStyleLight16">
    <tableStyle name="Slicer Style 1" pivot="0" table="0" count="5" xr9:uid="{59631E98-5D2C-48D0-A71A-3993AE8C9EA4}">
      <tableStyleElement type="wholeTable" dxfId="423"/>
    </tableStyle>
  </tableStyles>
  <extLst>
    <ext xmlns:x14="http://schemas.microsoft.com/office/spreadsheetml/2009/9/main" uri="{46F421CA-312F-682f-3DD2-61675219B42D}">
      <x14:dxfs count="11">
        <dxf>
          <fill>
            <patternFill>
              <bgColor rgb="FF92D050"/>
            </patternFill>
          </fill>
        </dxf>
        <dxf>
          <fill>
            <patternFill>
              <bgColor theme="5" tint="0.39994506668294322"/>
            </patternFill>
          </fill>
        </dxf>
        <dxf>
          <fill>
            <patternFill>
              <bgColor rgb="FFFFFF00"/>
            </patternFill>
          </fill>
        </dxf>
        <dxf>
          <fill>
            <patternFill>
              <bgColor theme="3" tint="0.39994506668294322"/>
            </patternFill>
          </fill>
        </dxf>
        <dxf>
          <fill>
            <patternFill>
              <bgColor theme="3" tint="0.39994506668294322"/>
            </patternFill>
          </fill>
        </dxf>
        <dxf>
          <fill>
            <patternFill>
              <bgColor theme="5" tint="0.39994506668294322"/>
            </patternFill>
          </fill>
        </dxf>
        <dxf>
          <fill>
            <patternFill>
              <bgColor rgb="FFFFFF00"/>
            </patternFill>
          </fill>
        </dxf>
        <dxf>
          <fill>
            <patternFill>
              <bgColor theme="5" tint="0.39994506668294322"/>
            </patternFill>
          </fill>
        </dxf>
        <dxf>
          <fill>
            <patternFill>
              <bgColor rgb="FFFFFF00"/>
            </patternFill>
          </fill>
        </dxf>
        <dxf>
          <fill>
            <patternFill>
              <bgColor theme="3" tint="0.39994506668294322"/>
            </patternFill>
          </fill>
        </dxf>
        <dxf>
          <fill>
            <patternFill>
              <bgColor rgb="FFFFFF0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selectedItemWithNoData" dxfId="1"/>
            <x14:slicerStyleElement type="hovered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Project.xlsx]DASHBOARD!PivotTable1</c:name>
    <c:fmtId val="0"/>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3111111111111111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0.33611111111111103"/>
              <c:y val="4.629629629629586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0.302777777777777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7499999999999999"/>
              <c:y val="9.25925925925917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0.3583333333333334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DASHBOARD!$B$3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dLbl>
              <c:idx val="0"/>
              <c:layout>
                <c:manualLayout>
                  <c:x val="0.17499999999999999"/>
                  <c:y val="9.259259259259173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791-44A8-ADE1-81CEE0AC5A9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DASHBOARD!$A$4:$A$6</c:f>
              <c:strCache>
                <c:ptCount val="3"/>
                <c:pt idx="0">
                  <c:v>Raj Verma</c:v>
                </c:pt>
                <c:pt idx="1">
                  <c:v>Sudama Kumar</c:v>
                </c:pt>
                <c:pt idx="2">
                  <c:v>Swarnlata Borse</c:v>
                </c:pt>
              </c:strCache>
            </c:strRef>
          </c:cat>
          <c:val>
            <c:numRef>
              <c:f>DASHBOARD!$B$4:$B$6</c:f>
              <c:numCache>
                <c:formatCode>General</c:formatCode>
                <c:ptCount val="3"/>
                <c:pt idx="0">
                  <c:v>339</c:v>
                </c:pt>
                <c:pt idx="1">
                  <c:v>306</c:v>
                </c:pt>
                <c:pt idx="2">
                  <c:v>189</c:v>
                </c:pt>
              </c:numCache>
            </c:numRef>
          </c:val>
          <c:extLst>
            <c:ext xmlns:c16="http://schemas.microsoft.com/office/drawing/2014/chart" uri="{C3380CC4-5D6E-409C-BE32-E72D297353CC}">
              <c16:uniqueId val="{00000000-9791-44A8-ADE1-81CEE0AC5A9B}"/>
            </c:ext>
          </c:extLst>
        </c:ser>
        <c:dLbls>
          <c:showLegendKey val="0"/>
          <c:showVal val="0"/>
          <c:showCatName val="0"/>
          <c:showSerName val="0"/>
          <c:showPercent val="0"/>
          <c:showBubbleSize val="0"/>
        </c:dLbls>
        <c:gapWidth val="150"/>
        <c:overlap val="100"/>
        <c:axId val="557540079"/>
        <c:axId val="557528559"/>
      </c:barChart>
      <c:catAx>
        <c:axId val="55754007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528559"/>
        <c:crosses val="autoZero"/>
        <c:auto val="1"/>
        <c:lblAlgn val="ctr"/>
        <c:lblOffset val="100"/>
        <c:noMultiLvlLbl val="0"/>
      </c:catAx>
      <c:valAx>
        <c:axId val="5575285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540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Project.xlsx]DASHBOARD!PivotTable3</c:name>
    <c:fmtId val="0"/>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DASHBOARD!$H$3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59BA-4800-AA73-39886848DBD6}"/>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DASHBOARD!$G$4:$G$6</c:f>
              <c:strCache>
                <c:ptCount val="3"/>
                <c:pt idx="0">
                  <c:v>Raj Verma</c:v>
                </c:pt>
                <c:pt idx="1">
                  <c:v>Sudama Kumar</c:v>
                </c:pt>
                <c:pt idx="2">
                  <c:v>Swarnlata Borse</c:v>
                </c:pt>
              </c:strCache>
            </c:strRef>
          </c:cat>
          <c:val>
            <c:numRef>
              <c:f>DASHBOARD!$H$4:$H$6</c:f>
              <c:numCache>
                <c:formatCode>0.00%</c:formatCode>
                <c:ptCount val="3"/>
                <c:pt idx="0">
                  <c:v>0.67800000000000005</c:v>
                </c:pt>
                <c:pt idx="1">
                  <c:v>0.61199999999999999</c:v>
                </c:pt>
                <c:pt idx="2">
                  <c:v>0.378</c:v>
                </c:pt>
              </c:numCache>
            </c:numRef>
          </c:val>
          <c:extLst>
            <c:ext xmlns:c16="http://schemas.microsoft.com/office/drawing/2014/chart" uri="{C3380CC4-5D6E-409C-BE32-E72D297353CC}">
              <c16:uniqueId val="{00000000-59BA-4800-AA73-39886848DBD6}"/>
            </c:ext>
          </c:extLst>
        </c:ser>
        <c:dLbls>
          <c:dLblPos val="inEnd"/>
          <c:showLegendKey val="0"/>
          <c:showVal val="0"/>
          <c:showCatName val="1"/>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Project.xlsx]DASHBOARD!PivotTable4</c:name>
    <c:fmtId val="0"/>
  </c:pivotSource>
  <c:chart>
    <c:autoTitleDeleted val="1"/>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DASHBOARD!$K$3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DASHBOARD!$J$4:$J$6</c:f>
              <c:strCache>
                <c:ptCount val="3"/>
                <c:pt idx="0">
                  <c:v>Raj Verma</c:v>
                </c:pt>
                <c:pt idx="1">
                  <c:v>Sudama Kumar</c:v>
                </c:pt>
                <c:pt idx="2">
                  <c:v>Swarnlata Borse</c:v>
                </c:pt>
              </c:strCache>
            </c:strRef>
          </c:cat>
          <c:val>
            <c:numRef>
              <c:f>DASHBOARD!$K$4:$K$6</c:f>
              <c:numCache>
                <c:formatCode>0.00%</c:formatCode>
                <c:ptCount val="3"/>
                <c:pt idx="0">
                  <c:v>0.32200000000000001</c:v>
                </c:pt>
                <c:pt idx="1">
                  <c:v>0.38800000000000001</c:v>
                </c:pt>
                <c:pt idx="2">
                  <c:v>0.622</c:v>
                </c:pt>
              </c:numCache>
            </c:numRef>
          </c:val>
          <c:smooth val="0"/>
          <c:extLst>
            <c:ext xmlns:c16="http://schemas.microsoft.com/office/drawing/2014/chart" uri="{C3380CC4-5D6E-409C-BE32-E72D297353CC}">
              <c16:uniqueId val="{00000000-6F41-4DCE-A89B-0082E82521E0}"/>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557572239"/>
        <c:axId val="557577039"/>
      </c:lineChart>
      <c:catAx>
        <c:axId val="557572239"/>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557577039"/>
        <c:crosses val="autoZero"/>
        <c:auto val="1"/>
        <c:lblAlgn val="ctr"/>
        <c:lblOffset val="100"/>
        <c:noMultiLvlLbl val="0"/>
      </c:catAx>
      <c:valAx>
        <c:axId val="55757703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57572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6350</xdr:colOff>
      <xdr:row>6</xdr:row>
      <xdr:rowOff>12701</xdr:rowOff>
    </xdr:from>
    <xdr:to>
      <xdr:col>4</xdr:col>
      <xdr:colOff>704850</xdr:colOff>
      <xdr:row>23</xdr:row>
      <xdr:rowOff>38101</xdr:rowOff>
    </xdr:to>
    <xdr:graphicFrame macro="">
      <xdr:nvGraphicFramePr>
        <xdr:cNvPr id="2" name="Chart 1">
          <a:extLst>
            <a:ext uri="{FF2B5EF4-FFF2-40B4-BE49-F238E27FC236}">
              <a16:creationId xmlns:a16="http://schemas.microsoft.com/office/drawing/2014/main" id="{2F2BA21B-9585-37F9-3904-50E40B346E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6</xdr:row>
      <xdr:rowOff>19050</xdr:rowOff>
    </xdr:from>
    <xdr:to>
      <xdr:col>8</xdr:col>
      <xdr:colOff>0</xdr:colOff>
      <xdr:row>22</xdr:row>
      <xdr:rowOff>165099</xdr:rowOff>
    </xdr:to>
    <xdr:graphicFrame macro="">
      <xdr:nvGraphicFramePr>
        <xdr:cNvPr id="3" name="Chart 2">
          <a:extLst>
            <a:ext uri="{FF2B5EF4-FFF2-40B4-BE49-F238E27FC236}">
              <a16:creationId xmlns:a16="http://schemas.microsoft.com/office/drawing/2014/main" id="{0F854D65-C5D3-F89E-5069-20D2186FCF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6350</xdr:colOff>
      <xdr:row>6</xdr:row>
      <xdr:rowOff>31749</xdr:rowOff>
    </xdr:from>
    <xdr:to>
      <xdr:col>11</xdr:col>
      <xdr:colOff>19050</xdr:colOff>
      <xdr:row>23</xdr:row>
      <xdr:rowOff>31750</xdr:rowOff>
    </xdr:to>
    <xdr:graphicFrame macro="">
      <xdr:nvGraphicFramePr>
        <xdr:cNvPr id="4" name="Chart 3">
          <a:extLst>
            <a:ext uri="{FF2B5EF4-FFF2-40B4-BE49-F238E27FC236}">
              <a16:creationId xmlns:a16="http://schemas.microsoft.com/office/drawing/2014/main" id="{428BFB82-2E9F-38D6-B743-02A59D1DB8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139700</xdr:rowOff>
    </xdr:from>
    <xdr:to>
      <xdr:col>11</xdr:col>
      <xdr:colOff>12700</xdr:colOff>
      <xdr:row>1</xdr:row>
      <xdr:rowOff>400050</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ACD5EF88-46C5-9E91-E71B-7F478B206C8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39700"/>
              <a:ext cx="11049000" cy="476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15.502829166668" createdVersion="8" refreshedVersion="8" minRefreshableVersion="3" recordCount="22" xr:uid="{A9620F02-62BF-4AC8-BA90-4FA259F90C6C}">
  <cacheSource type="worksheet">
    <worksheetSource ref="A1:L1048576" sheet="Sales Performance"/>
  </cacheSource>
  <cacheFields count="12">
    <cacheField name="Emp Code" numFmtId="0">
      <sharedItems containsBlank="1"/>
    </cacheField>
    <cacheField name="Sales Executive" numFmtId="0">
      <sharedItems containsBlank="1" count="22">
        <s v="Raj Verma"/>
        <s v="Tanuja Kale"/>
        <s v="Arvind Sharma"/>
        <s v="Tahira Qureshi"/>
        <s v="Anuj Sharma"/>
        <s v="Syed Sohail"/>
        <s v="Syed Saqib"/>
        <s v="Syed Naved"/>
        <s v="Swarnlata Borse"/>
        <s v="Sushma Khandelwal"/>
        <s v="Surendranath Thakur"/>
        <s v="Surendra Kumar"/>
        <s v="Sunita Madnani"/>
        <s v="Sunita Chawla"/>
        <s v="Sunil Kumar"/>
        <s v="Sudhir Kumar"/>
        <s v="Sudama Kumar"/>
        <s v="Sonaram Munda"/>
        <s v="Sneh Khan"/>
        <s v="Shyamal Malakar"/>
        <s v="Shubhanjali Joshi"/>
        <m/>
      </sharedItems>
    </cacheField>
    <cacheField name="Region" numFmtId="0">
      <sharedItems containsBlank="1" count="9">
        <s v="Mumbai"/>
        <s v="Delhi"/>
        <s v="Nagpur"/>
        <s v="Chennai"/>
        <s v="Pune"/>
        <s v="Patna"/>
        <s v="Ranchi"/>
        <s v="Surat"/>
        <m/>
      </sharedItems>
    </cacheField>
    <cacheField name="Day1" numFmtId="0">
      <sharedItems containsString="0" containsBlank="1" containsNumber="1" containsInteger="1" minValue="11" maxValue="95"/>
    </cacheField>
    <cacheField name="Day2" numFmtId="0">
      <sharedItems containsString="0" containsBlank="1" containsNumber="1" containsInteger="1" minValue="17" maxValue="99"/>
    </cacheField>
    <cacheField name="Day3" numFmtId="0">
      <sharedItems containsString="0" containsBlank="1" containsNumber="1" containsInteger="1" minValue="11" maxValue="98"/>
    </cacheField>
    <cacheField name="Day4" numFmtId="0">
      <sharedItems containsString="0" containsBlank="1" containsNumber="1" containsInteger="1" minValue="12" maxValue="98"/>
    </cacheField>
    <cacheField name="Day5" numFmtId="0">
      <sharedItems containsString="0" containsBlank="1" containsNumber="1" containsInteger="1" minValue="18" maxValue="94"/>
    </cacheField>
    <cacheField name="Total Sales" numFmtId="0">
      <sharedItems containsString="0" containsBlank="1" containsNumber="1" containsInteger="1" minValue="189" maxValue="379"/>
    </cacheField>
    <cacheField name="Target" numFmtId="0">
      <sharedItems containsString="0" containsBlank="1" containsNumber="1" containsInteger="1" minValue="500" maxValue="500"/>
    </cacheField>
    <cacheField name="Target Hit %" numFmtId="0">
      <sharedItems containsString="0" containsBlank="1" containsNumber="1" minValue="0.378" maxValue="0.75800000000000001"/>
    </cacheField>
    <cacheField name="Away From Target %" numFmtId="0">
      <sharedItems containsString="0" containsBlank="1" containsNumber="1" minValue="0.24199999999999999" maxValue="0.622"/>
    </cacheField>
  </cacheFields>
  <extLst>
    <ext xmlns:x14="http://schemas.microsoft.com/office/spreadsheetml/2009/9/main" uri="{725AE2AE-9491-48be-B2B4-4EB974FC3084}">
      <x14:pivotCacheDefinition pivotCacheId="8345750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
  <r>
    <s v="Mum-TCL001"/>
    <x v="0"/>
    <x v="0"/>
    <n v="49"/>
    <n v="84"/>
    <n v="98"/>
    <n v="67"/>
    <n v="41"/>
    <n v="339"/>
    <n v="500"/>
    <n v="0.67800000000000005"/>
    <n v="0.32200000000000001"/>
  </r>
  <r>
    <s v="Mum-TCL002"/>
    <x v="1"/>
    <x v="1"/>
    <n v="44"/>
    <n v="85"/>
    <n v="47"/>
    <n v="15"/>
    <n v="48"/>
    <n v="239"/>
    <n v="500"/>
    <n v="0.47799999999999998"/>
    <n v="0.52200000000000002"/>
  </r>
  <r>
    <s v="Mum-TCL003"/>
    <x v="2"/>
    <x v="2"/>
    <n v="45"/>
    <n v="79"/>
    <n v="88"/>
    <n v="73"/>
    <n v="94"/>
    <n v="379"/>
    <n v="500"/>
    <n v="0.75800000000000001"/>
    <n v="0.24199999999999999"/>
  </r>
  <r>
    <s v="Mum-TCL004"/>
    <x v="3"/>
    <x v="3"/>
    <n v="52"/>
    <n v="99"/>
    <n v="13"/>
    <n v="95"/>
    <n v="29"/>
    <n v="288"/>
    <n v="500"/>
    <n v="0.57599999999999996"/>
    <n v="0.42399999999999999"/>
  </r>
  <r>
    <s v="Mum-TCL005"/>
    <x v="4"/>
    <x v="4"/>
    <n v="35"/>
    <n v="54"/>
    <n v="49"/>
    <n v="26"/>
    <n v="49"/>
    <n v="213"/>
    <n v="500"/>
    <n v="0.42599999999999999"/>
    <n v="0.57399999999999995"/>
  </r>
  <r>
    <s v="Mum-TCL006"/>
    <x v="5"/>
    <x v="5"/>
    <n v="86"/>
    <n v="31"/>
    <n v="23"/>
    <n v="48"/>
    <n v="77"/>
    <n v="265"/>
    <n v="500"/>
    <n v="0.53"/>
    <n v="0.47"/>
  </r>
  <r>
    <s v="Mum-TCL007"/>
    <x v="6"/>
    <x v="6"/>
    <n v="84"/>
    <n v="28"/>
    <n v="98"/>
    <n v="80"/>
    <n v="79"/>
    <n v="369"/>
    <n v="500"/>
    <n v="0.73799999999999999"/>
    <n v="0.26200000000000001"/>
  </r>
  <r>
    <s v="Mum-TCL008"/>
    <x v="7"/>
    <x v="7"/>
    <n v="73"/>
    <n v="97"/>
    <n v="38"/>
    <n v="24"/>
    <n v="53"/>
    <n v="285"/>
    <n v="500"/>
    <n v="0.56999999999999995"/>
    <n v="0.43"/>
  </r>
  <r>
    <s v="Mum-TCL009"/>
    <x v="8"/>
    <x v="0"/>
    <n v="54"/>
    <n v="26"/>
    <n v="53"/>
    <n v="36"/>
    <n v="20"/>
    <n v="189"/>
    <n v="500"/>
    <n v="0.378"/>
    <n v="0.622"/>
  </r>
  <r>
    <s v="Mum-TCL010"/>
    <x v="9"/>
    <x v="1"/>
    <n v="52"/>
    <n v="52"/>
    <n v="19"/>
    <n v="53"/>
    <n v="37"/>
    <n v="213"/>
    <n v="500"/>
    <n v="0.42599999999999999"/>
    <n v="0.57399999999999995"/>
  </r>
  <r>
    <s v="Mum-TCL011"/>
    <x v="10"/>
    <x v="2"/>
    <n v="63"/>
    <n v="17"/>
    <n v="40"/>
    <n v="48"/>
    <n v="51"/>
    <n v="219"/>
    <n v="500"/>
    <n v="0.438"/>
    <n v="0.56200000000000006"/>
  </r>
  <r>
    <s v="Mum-TCL012"/>
    <x v="11"/>
    <x v="3"/>
    <n v="79"/>
    <n v="99"/>
    <n v="95"/>
    <n v="12"/>
    <n v="91"/>
    <n v="376"/>
    <n v="500"/>
    <n v="0.752"/>
    <n v="0.248"/>
  </r>
  <r>
    <s v="Mum-TCL013"/>
    <x v="12"/>
    <x v="4"/>
    <n v="95"/>
    <n v="88"/>
    <n v="11"/>
    <n v="78"/>
    <n v="60"/>
    <n v="332"/>
    <n v="500"/>
    <n v="0.66400000000000003"/>
    <n v="0.33600000000000002"/>
  </r>
  <r>
    <s v="Mum-TCL014"/>
    <x v="13"/>
    <x v="5"/>
    <n v="83"/>
    <n v="77"/>
    <n v="66"/>
    <n v="22"/>
    <n v="40"/>
    <n v="288"/>
    <n v="500"/>
    <n v="0.57599999999999996"/>
    <n v="0.42399999999999999"/>
  </r>
  <r>
    <s v="Mum-TCL015"/>
    <x v="14"/>
    <x v="6"/>
    <n v="78"/>
    <n v="58"/>
    <n v="34"/>
    <n v="84"/>
    <n v="31"/>
    <n v="285"/>
    <n v="500"/>
    <n v="0.56999999999999995"/>
    <n v="0.43"/>
  </r>
  <r>
    <s v="Mum-TCL016"/>
    <x v="15"/>
    <x v="7"/>
    <n v="14"/>
    <n v="25"/>
    <n v="45"/>
    <n v="70"/>
    <n v="45"/>
    <n v="199"/>
    <n v="500"/>
    <n v="0.39800000000000002"/>
    <n v="0.60199999999999998"/>
  </r>
  <r>
    <s v="Mum-TCL017"/>
    <x v="16"/>
    <x v="0"/>
    <n v="37"/>
    <n v="69"/>
    <n v="96"/>
    <n v="66"/>
    <n v="38"/>
    <n v="306"/>
    <n v="500"/>
    <n v="0.61199999999999999"/>
    <n v="0.38800000000000001"/>
  </r>
  <r>
    <s v="Mum-TCL018"/>
    <x v="17"/>
    <x v="1"/>
    <n v="11"/>
    <n v="46"/>
    <n v="91"/>
    <n v="98"/>
    <n v="45"/>
    <n v="291"/>
    <n v="500"/>
    <n v="0.58199999999999996"/>
    <n v="0.41799999999999998"/>
  </r>
  <r>
    <s v="Mum-TCL019"/>
    <x v="18"/>
    <x v="2"/>
    <n v="19"/>
    <n v="34"/>
    <n v="64"/>
    <n v="65"/>
    <n v="70"/>
    <n v="252"/>
    <n v="500"/>
    <n v="0.504"/>
    <n v="0.496"/>
  </r>
  <r>
    <s v="Mum-TCL020"/>
    <x v="19"/>
    <x v="3"/>
    <n v="93"/>
    <n v="84"/>
    <n v="13"/>
    <n v="45"/>
    <n v="18"/>
    <n v="253"/>
    <n v="500"/>
    <n v="0.50600000000000001"/>
    <n v="0.49399999999999999"/>
  </r>
  <r>
    <s v="Mum-TCL021"/>
    <x v="20"/>
    <x v="4"/>
    <n v="68"/>
    <n v="73"/>
    <n v="97"/>
    <n v="76"/>
    <n v="53"/>
    <n v="367"/>
    <n v="500"/>
    <n v="0.73399999999999999"/>
    <n v="0.26600000000000001"/>
  </r>
  <r>
    <m/>
    <x v="21"/>
    <x v="8"/>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767E8E1-891B-409F-B635-2236D8BBB5EA}" name="PivotTable4" cacheId="5"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3" rowHeaderCaption="Sales Executive">
  <location ref="J3:K6" firstHeaderRow="1" firstDataRow="1" firstDataCol="1"/>
  <pivotFields count="12">
    <pivotField showAll="0"/>
    <pivotField axis="axisRow" showAll="0" measureFilter="1">
      <items count="23">
        <item x="4"/>
        <item x="2"/>
        <item x="0"/>
        <item x="20"/>
        <item x="19"/>
        <item x="18"/>
        <item x="17"/>
        <item x="16"/>
        <item x="15"/>
        <item x="14"/>
        <item x="13"/>
        <item x="12"/>
        <item x="11"/>
        <item x="10"/>
        <item x="9"/>
        <item x="8"/>
        <item x="7"/>
        <item x="6"/>
        <item x="5"/>
        <item x="3"/>
        <item x="1"/>
        <item x="21"/>
        <item t="default"/>
      </items>
    </pivotField>
    <pivotField showAll="0">
      <items count="10">
        <item h="1" x="3"/>
        <item h="1" x="1"/>
        <item x="0"/>
        <item h="1" x="2"/>
        <item h="1" x="5"/>
        <item h="1" x="4"/>
        <item h="1" x="6"/>
        <item h="1" x="7"/>
        <item h="1" x="8"/>
        <item t="default"/>
      </items>
    </pivotField>
    <pivotField showAll="0"/>
    <pivotField showAll="0"/>
    <pivotField showAll="0"/>
    <pivotField showAll="0"/>
    <pivotField showAll="0"/>
    <pivotField showAll="0"/>
    <pivotField showAll="0"/>
    <pivotField showAll="0"/>
    <pivotField dataField="1" showAll="0"/>
  </pivotFields>
  <rowFields count="1">
    <field x="1"/>
  </rowFields>
  <rowItems count="3">
    <i>
      <x v="2"/>
    </i>
    <i>
      <x v="7"/>
    </i>
    <i>
      <x v="15"/>
    </i>
  </rowItems>
  <colItems count="1">
    <i/>
  </colItems>
  <dataFields count="1">
    <dataField name="Sum of Away From Target %" fld="11" baseField="1" baseItem="0" numFmtId="10"/>
  </dataFields>
  <formats count="9">
    <format dxfId="112">
      <pivotArea type="all" dataOnly="0" outline="0" fieldPosition="0"/>
    </format>
    <format dxfId="113">
      <pivotArea outline="0" collapsedLevelsAreSubtotals="1" fieldPosition="0"/>
    </format>
    <format dxfId="114">
      <pivotArea field="1" type="button" dataOnly="0" labelOnly="1" outline="0" axis="axisRow" fieldPosition="0"/>
    </format>
    <format dxfId="115">
      <pivotArea dataOnly="0" labelOnly="1" fieldPosition="0">
        <references count="1">
          <reference field="1" count="0"/>
        </references>
      </pivotArea>
    </format>
    <format dxfId="116">
      <pivotArea dataOnly="0" labelOnly="1" grandRow="1" outline="0" fieldPosition="0"/>
    </format>
    <format dxfId="117">
      <pivotArea dataOnly="0" labelOnly="1" outline="0" axis="axisValues" fieldPosition="0"/>
    </format>
    <format dxfId="118">
      <pivotArea outline="0" fieldPosition="0">
        <references count="1">
          <reference field="4294967294" count="1">
            <x v="0"/>
          </reference>
        </references>
      </pivotArea>
    </format>
    <format dxfId="119">
      <pivotArea dataOnly="0" outline="0" axis="axisValues" fieldPosition="0"/>
    </format>
    <format dxfId="120">
      <pivotArea field="1" type="button" dataOnly="0" labelOnly="1" outline="0" axis="axisRow"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Dark13" showRowHeaders="1" showColHeaders="1" showRowStripes="0" showColStripes="0" showLastColumn="1"/>
  <filters count="1">
    <filter fld="1"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88581F-B13B-4FD0-A4D3-B41B5A46A135}" name="PivotTable3" cacheId="5"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4" rowHeaderCaption="Sales Executive">
  <location ref="G3:H6" firstHeaderRow="1" firstDataRow="1" firstDataCol="1"/>
  <pivotFields count="12">
    <pivotField showAll="0"/>
    <pivotField axis="axisRow" showAll="0" measureFilter="1">
      <items count="23">
        <item x="4"/>
        <item x="2"/>
        <item x="0"/>
        <item x="20"/>
        <item x="19"/>
        <item x="18"/>
        <item x="17"/>
        <item x="16"/>
        <item x="15"/>
        <item x="14"/>
        <item x="13"/>
        <item x="12"/>
        <item x="11"/>
        <item x="10"/>
        <item x="9"/>
        <item x="8"/>
        <item x="7"/>
        <item x="6"/>
        <item x="5"/>
        <item x="3"/>
        <item x="1"/>
        <item x="21"/>
        <item t="default"/>
      </items>
    </pivotField>
    <pivotField showAll="0">
      <items count="10">
        <item h="1" x="3"/>
        <item h="1" x="1"/>
        <item x="0"/>
        <item h="1" x="2"/>
        <item h="1" x="5"/>
        <item h="1" x="4"/>
        <item h="1" x="6"/>
        <item h="1" x="7"/>
        <item h="1" x="8"/>
        <item t="default"/>
      </items>
    </pivotField>
    <pivotField showAll="0"/>
    <pivotField showAll="0"/>
    <pivotField showAll="0"/>
    <pivotField showAll="0"/>
    <pivotField showAll="0"/>
    <pivotField showAll="0"/>
    <pivotField showAll="0"/>
    <pivotField dataField="1" showAll="0"/>
    <pivotField showAll="0"/>
  </pivotFields>
  <rowFields count="1">
    <field x="1"/>
  </rowFields>
  <rowItems count="3">
    <i>
      <x v="2"/>
    </i>
    <i>
      <x v="7"/>
    </i>
    <i>
      <x v="15"/>
    </i>
  </rowItems>
  <colItems count="1">
    <i/>
  </colItems>
  <dataFields count="1">
    <dataField name="Target Hit % wise" fld="10" baseField="1" baseItem="8" numFmtId="10"/>
  </dataFields>
  <formats count="9">
    <format dxfId="121">
      <pivotArea type="all" dataOnly="0" outline="0" fieldPosition="0"/>
    </format>
    <format dxfId="122">
      <pivotArea outline="0" collapsedLevelsAreSubtotals="1" fieldPosition="0"/>
    </format>
    <format dxfId="123">
      <pivotArea field="1" type="button" dataOnly="0" labelOnly="1" outline="0" axis="axisRow" fieldPosition="0"/>
    </format>
    <format dxfId="124">
      <pivotArea dataOnly="0" labelOnly="1" fieldPosition="0">
        <references count="1">
          <reference field="1" count="0"/>
        </references>
      </pivotArea>
    </format>
    <format dxfId="125">
      <pivotArea dataOnly="0" labelOnly="1" grandRow="1" outline="0" fieldPosition="0"/>
    </format>
    <format dxfId="126">
      <pivotArea dataOnly="0" labelOnly="1" outline="0" axis="axisValues" fieldPosition="0"/>
    </format>
    <format dxfId="127">
      <pivotArea outline="0" fieldPosition="0">
        <references count="1">
          <reference field="4294967294" count="1">
            <x v="0"/>
          </reference>
        </references>
      </pivotArea>
    </format>
    <format dxfId="128">
      <pivotArea field="1" type="button" dataOnly="0" labelOnly="1" outline="0" axis="axisRow" fieldPosition="0"/>
    </format>
    <format dxfId="129">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2"/>
          </reference>
        </references>
      </pivotArea>
    </chartFormat>
  </chartFormats>
  <pivotTableStyleInfo name="PivotStyleDark13"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D28009-5ECD-4B1A-BEA8-1102AC9D1A35}" name="PivotTable2"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Sales Executive">
  <location ref="D3:E6" firstHeaderRow="1" firstDataRow="1" firstDataCol="1"/>
  <pivotFields count="12">
    <pivotField showAll="0"/>
    <pivotField axis="axisRow" showAll="0" measureFilter="1">
      <items count="23">
        <item x="4"/>
        <item x="2"/>
        <item x="0"/>
        <item x="20"/>
        <item x="19"/>
        <item x="18"/>
        <item x="17"/>
        <item x="16"/>
        <item x="15"/>
        <item x="14"/>
        <item x="13"/>
        <item x="12"/>
        <item x="11"/>
        <item x="10"/>
        <item x="9"/>
        <item x="8"/>
        <item x="7"/>
        <item x="6"/>
        <item x="5"/>
        <item x="3"/>
        <item x="1"/>
        <item x="21"/>
        <item t="default"/>
      </items>
    </pivotField>
    <pivotField showAll="0">
      <items count="10">
        <item h="1" x="3"/>
        <item h="1" x="1"/>
        <item x="0"/>
        <item h="1" x="2"/>
        <item h="1" x="5"/>
        <item h="1" x="4"/>
        <item h="1" x="6"/>
        <item h="1" x="7"/>
        <item h="1" x="8"/>
        <item t="default"/>
      </items>
    </pivotField>
    <pivotField showAll="0"/>
    <pivotField showAll="0"/>
    <pivotField showAll="0"/>
    <pivotField showAll="0"/>
    <pivotField showAll="0"/>
    <pivotField dataField="1" showAll="0"/>
    <pivotField showAll="0"/>
    <pivotField showAll="0"/>
    <pivotField showAll="0"/>
  </pivotFields>
  <rowFields count="1">
    <field x="1"/>
  </rowFields>
  <rowItems count="3">
    <i>
      <x v="2"/>
    </i>
    <i>
      <x v="7"/>
    </i>
    <i>
      <x v="15"/>
    </i>
  </rowItems>
  <colItems count="1">
    <i/>
  </colItems>
  <dataFields count="1">
    <dataField name="Total Sales " fld="8" baseField="0" baseItem="0"/>
  </dataFields>
  <formats count="8">
    <format dxfId="130">
      <pivotArea type="all" dataOnly="0" outline="0" fieldPosition="0"/>
    </format>
    <format dxfId="131">
      <pivotArea outline="0" collapsedLevelsAreSubtotals="1" fieldPosition="0"/>
    </format>
    <format dxfId="132">
      <pivotArea field="1" type="button" dataOnly="0" labelOnly="1" outline="0" axis="axisRow" fieldPosition="0"/>
    </format>
    <format dxfId="133">
      <pivotArea dataOnly="0" labelOnly="1" fieldPosition="0">
        <references count="1">
          <reference field="1" count="5">
            <x v="1"/>
            <x v="2"/>
            <x v="3"/>
            <x v="12"/>
            <x v="17"/>
          </reference>
        </references>
      </pivotArea>
    </format>
    <format dxfId="134">
      <pivotArea dataOnly="0" labelOnly="1" grandRow="1" outline="0" fieldPosition="0"/>
    </format>
    <format dxfId="135">
      <pivotArea dataOnly="0" labelOnly="1" outline="0" axis="axisValues" fieldPosition="0"/>
    </format>
    <format dxfId="136">
      <pivotArea field="1" type="button" dataOnly="0" labelOnly="1" outline="0" axis="axisRow" fieldPosition="0"/>
    </format>
    <format dxfId="137">
      <pivotArea dataOnly="0" labelOnly="1" outline="0" axis="axisValues" fieldPosition="0"/>
    </format>
  </formats>
  <pivotTableStyleInfo name="PivotStyleDark7" showRowHeaders="1" showColHeaders="1" showRowStripes="0" showColStripes="0" showLastColumn="1"/>
  <filters count="1">
    <filter fld="1"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B530528-B00C-4F01-A295-961C3B32FC84}" name="PivotTable1"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rowHeaderCaption="Sales Executive">
  <location ref="A3:B6" firstHeaderRow="1" firstDataRow="1" firstDataCol="1"/>
  <pivotFields count="12">
    <pivotField showAll="0"/>
    <pivotField axis="axisRow" showAll="0" measureFilter="1">
      <items count="23">
        <item x="4"/>
        <item x="2"/>
        <item x="0"/>
        <item x="20"/>
        <item x="19"/>
        <item x="18"/>
        <item x="17"/>
        <item x="16"/>
        <item x="15"/>
        <item x="14"/>
        <item x="13"/>
        <item x="12"/>
        <item x="11"/>
        <item x="10"/>
        <item x="9"/>
        <item x="8"/>
        <item x="7"/>
        <item x="6"/>
        <item x="5"/>
        <item x="3"/>
        <item x="1"/>
        <item x="21"/>
        <item t="default"/>
      </items>
    </pivotField>
    <pivotField showAll="0">
      <items count="10">
        <item h="1" x="3"/>
        <item h="1" x="1"/>
        <item x="0"/>
        <item h="1" x="2"/>
        <item h="1" x="5"/>
        <item h="1" x="4"/>
        <item h="1" x="6"/>
        <item h="1" x="7"/>
        <item h="1" x="8"/>
        <item t="default"/>
      </items>
    </pivotField>
    <pivotField showAll="0"/>
    <pivotField showAll="0"/>
    <pivotField showAll="0"/>
    <pivotField showAll="0"/>
    <pivotField showAll="0"/>
    <pivotField dataField="1" showAll="0"/>
    <pivotField showAll="0"/>
    <pivotField showAll="0"/>
    <pivotField showAll="0"/>
  </pivotFields>
  <rowFields count="1">
    <field x="1"/>
  </rowFields>
  <rowItems count="3">
    <i>
      <x v="2"/>
    </i>
    <i>
      <x v="7"/>
    </i>
    <i>
      <x v="15"/>
    </i>
  </rowItems>
  <colItems count="1">
    <i/>
  </colItems>
  <dataFields count="1">
    <dataField name="Total Sales " fld="8" baseField="0" baseItem="0"/>
  </dataFields>
  <formats count="2">
    <format dxfId="138">
      <pivotArea field="1" type="button" dataOnly="0" labelOnly="1" outline="0" axis="axisRow" fieldPosition="0"/>
    </format>
    <format dxfId="139">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17"/>
          </reference>
        </references>
      </pivotArea>
    </chartFormat>
    <chartFormat chart="0" format="2">
      <pivotArea type="data" outline="0" fieldPosition="0">
        <references count="2">
          <reference field="4294967294" count="1" selected="0">
            <x v="0"/>
          </reference>
          <reference field="1" count="1" selected="0">
            <x v="12"/>
          </reference>
        </references>
      </pivotArea>
    </chartFormat>
    <chartFormat chart="0" format="3">
      <pivotArea type="data" outline="0" fieldPosition="0">
        <references count="2">
          <reference field="4294967294" count="1" selected="0">
            <x v="0"/>
          </reference>
          <reference field="1" count="1" selected="0">
            <x v="3"/>
          </reference>
        </references>
      </pivotArea>
    </chartFormat>
    <chartFormat chart="0" format="4">
      <pivotArea type="data" outline="0" fieldPosition="0">
        <references count="2">
          <reference field="4294967294" count="1" selected="0">
            <x v="0"/>
          </reference>
          <reference field="1" count="1" selected="0">
            <x v="2"/>
          </reference>
        </references>
      </pivotArea>
    </chartFormat>
    <chartFormat chart="0" format="5">
      <pivotArea type="data" outline="0" fieldPosition="0">
        <references count="2">
          <reference field="4294967294" count="1" selected="0">
            <x v="0"/>
          </reference>
          <reference field="1" count="1" selected="0">
            <x v="1"/>
          </reference>
        </references>
      </pivotArea>
    </chartFormat>
  </chartFormats>
  <pivotTableStyleInfo name="PivotStyleDark7"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7F05692-9C1E-4C61-A53A-8398A4999079}" sourceName="Region">
  <pivotTables>
    <pivotTable tabId="2" name="PivotTable1"/>
    <pivotTable tabId="2" name="PivotTable2"/>
    <pivotTable tabId="2" name="PivotTable3"/>
    <pivotTable tabId="2" name="PivotTable4"/>
  </pivotTables>
  <data>
    <tabular pivotCacheId="834575059">
      <items count="9">
        <i x="3"/>
        <i x="1"/>
        <i x="0" s="1"/>
        <i x="2"/>
        <i x="5"/>
        <i x="4"/>
        <i x="6"/>
        <i x="7"/>
        <i x="8"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3CF65BB-38BB-4BFF-87F1-8751C9C708C1}" cache="Slicer_Region" caption="Region" columnCount="8" showCaption="0" style="Slicer Style 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B12A4-1857-4A55-A554-4300FCBECC2B}">
  <dimension ref="A1:K27"/>
  <sheetViews>
    <sheetView tabSelected="1" workbookViewId="0">
      <selection activeCell="J27" sqref="J27"/>
    </sheetView>
  </sheetViews>
  <sheetFormatPr defaultRowHeight="14.5" x14ac:dyDescent="0.35"/>
  <cols>
    <col min="1" max="1" width="15.7265625" bestFit="1" customWidth="1"/>
    <col min="2" max="2" width="10.1796875" bestFit="1" customWidth="1"/>
    <col min="3" max="3" width="2.90625" customWidth="1"/>
    <col min="4" max="4" width="18" bestFit="1" customWidth="1"/>
    <col min="5" max="5" width="10.1796875" customWidth="1"/>
    <col min="6" max="6" width="3.6328125" customWidth="1"/>
    <col min="7" max="7" width="31.54296875" style="7" customWidth="1"/>
    <col min="8" max="8" width="15.26953125" style="7" bestFit="1" customWidth="1"/>
    <col min="9" max="9" width="3.453125" style="7" customWidth="1"/>
    <col min="10" max="10" width="22.6328125" customWidth="1"/>
    <col min="11" max="11" width="24.453125" customWidth="1"/>
  </cols>
  <sheetData>
    <row r="1" spans="1:11" ht="17" customHeight="1" x14ac:dyDescent="0.35"/>
    <row r="2" spans="1:11" ht="35.5" customHeight="1" x14ac:dyDescent="0.35"/>
    <row r="3" spans="1:11" x14ac:dyDescent="0.35">
      <c r="A3" s="10" t="s">
        <v>1</v>
      </c>
      <c r="B3" s="10" t="s">
        <v>62</v>
      </c>
      <c r="D3" s="11" t="s">
        <v>1</v>
      </c>
      <c r="E3" s="11" t="s">
        <v>62</v>
      </c>
      <c r="F3" s="7"/>
      <c r="G3" s="11" t="s">
        <v>1</v>
      </c>
      <c r="H3" s="11" t="s">
        <v>63</v>
      </c>
      <c r="J3" s="11" t="s">
        <v>1</v>
      </c>
      <c r="K3" s="11" t="s">
        <v>64</v>
      </c>
    </row>
    <row r="4" spans="1:11" x14ac:dyDescent="0.35">
      <c r="A4" s="5" t="s">
        <v>13</v>
      </c>
      <c r="B4" s="6">
        <v>339</v>
      </c>
      <c r="D4" s="7" t="s">
        <v>13</v>
      </c>
      <c r="E4" s="8">
        <v>339</v>
      </c>
      <c r="F4" s="8"/>
      <c r="G4" s="7" t="s">
        <v>13</v>
      </c>
      <c r="H4" s="9">
        <v>0.67800000000000005</v>
      </c>
      <c r="I4" s="9"/>
      <c r="J4" s="7" t="s">
        <v>13</v>
      </c>
      <c r="K4" s="9">
        <v>0.32200000000000001</v>
      </c>
    </row>
    <row r="5" spans="1:11" x14ac:dyDescent="0.35">
      <c r="A5" s="5" t="s">
        <v>53</v>
      </c>
      <c r="B5" s="6">
        <v>306</v>
      </c>
      <c r="D5" s="7" t="s">
        <v>53</v>
      </c>
      <c r="E5" s="8">
        <v>306</v>
      </c>
      <c r="F5" s="8"/>
      <c r="G5" s="7" t="s">
        <v>53</v>
      </c>
      <c r="H5" s="9">
        <v>0.61199999999999999</v>
      </c>
      <c r="I5" s="9"/>
      <c r="J5" s="7" t="s">
        <v>53</v>
      </c>
      <c r="K5" s="9">
        <v>0.38800000000000001</v>
      </c>
    </row>
    <row r="6" spans="1:11" x14ac:dyDescent="0.35">
      <c r="A6" s="5" t="s">
        <v>37</v>
      </c>
      <c r="B6" s="6">
        <v>189</v>
      </c>
      <c r="D6" s="7" t="s">
        <v>37</v>
      </c>
      <c r="E6" s="8">
        <v>189</v>
      </c>
      <c r="G6" s="7" t="s">
        <v>37</v>
      </c>
      <c r="H6" s="9">
        <v>0.378</v>
      </c>
      <c r="I6"/>
      <c r="J6" s="7" t="s">
        <v>37</v>
      </c>
      <c r="K6" s="9">
        <v>0.622</v>
      </c>
    </row>
    <row r="7" spans="1:11" x14ac:dyDescent="0.35">
      <c r="G7"/>
      <c r="H7"/>
      <c r="I7"/>
    </row>
    <row r="8" spans="1:11" x14ac:dyDescent="0.35">
      <c r="G8"/>
      <c r="H8"/>
      <c r="I8"/>
    </row>
    <row r="9" spans="1:11" x14ac:dyDescent="0.35">
      <c r="G9"/>
      <c r="H9"/>
      <c r="I9"/>
    </row>
    <row r="10" spans="1:11" x14ac:dyDescent="0.35">
      <c r="G10"/>
      <c r="H10"/>
      <c r="I10"/>
    </row>
    <row r="11" spans="1:11" x14ac:dyDescent="0.35">
      <c r="G11"/>
      <c r="H11"/>
      <c r="I11"/>
    </row>
    <row r="12" spans="1:11" x14ac:dyDescent="0.35">
      <c r="G12"/>
      <c r="H12"/>
      <c r="I12"/>
    </row>
    <row r="13" spans="1:11" x14ac:dyDescent="0.35">
      <c r="G13"/>
      <c r="H13"/>
      <c r="I13"/>
    </row>
    <row r="14" spans="1:11" x14ac:dyDescent="0.35">
      <c r="G14"/>
      <c r="H14"/>
      <c r="I14"/>
    </row>
    <row r="15" spans="1:11" x14ac:dyDescent="0.35">
      <c r="G15"/>
      <c r="H15"/>
      <c r="I15"/>
    </row>
    <row r="16" spans="1:11" x14ac:dyDescent="0.35">
      <c r="G16"/>
      <c r="H16"/>
      <c r="I16"/>
    </row>
    <row r="17" spans="7:10" x14ac:dyDescent="0.35">
      <c r="G17"/>
      <c r="H17"/>
      <c r="I17"/>
    </row>
    <row r="18" spans="7:10" x14ac:dyDescent="0.35">
      <c r="G18"/>
      <c r="H18"/>
      <c r="I18"/>
    </row>
    <row r="19" spans="7:10" x14ac:dyDescent="0.35">
      <c r="G19"/>
      <c r="H19"/>
      <c r="I19"/>
    </row>
    <row r="20" spans="7:10" x14ac:dyDescent="0.35">
      <c r="G20"/>
      <c r="H20"/>
      <c r="I20"/>
    </row>
    <row r="21" spans="7:10" x14ac:dyDescent="0.35">
      <c r="G21"/>
      <c r="H21"/>
      <c r="I21"/>
    </row>
    <row r="22" spans="7:10" x14ac:dyDescent="0.35">
      <c r="G22"/>
      <c r="H22"/>
      <c r="I22"/>
    </row>
    <row r="23" spans="7:10" x14ac:dyDescent="0.35">
      <c r="G23"/>
      <c r="H23"/>
      <c r="I23"/>
    </row>
    <row r="27" spans="7:10" x14ac:dyDescent="0.35">
      <c r="J27" t="s">
        <v>65</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2"/>
  <sheetViews>
    <sheetView workbookViewId="0">
      <selection activeCell="L27" sqref="A1:XFD1048576"/>
    </sheetView>
  </sheetViews>
  <sheetFormatPr defaultRowHeight="14.5" x14ac:dyDescent="0.35"/>
  <cols>
    <col min="1" max="1" width="12" style="4" customWidth="1"/>
    <col min="2" max="2" width="21" style="4" customWidth="1"/>
    <col min="3" max="3" width="9" style="4" customWidth="1"/>
    <col min="4" max="8" width="6" style="4" customWidth="1"/>
    <col min="9" max="9" width="13" style="4" customWidth="1"/>
    <col min="10" max="10" width="8" style="4" customWidth="1"/>
    <col min="11" max="11" width="14" style="4" customWidth="1"/>
    <col min="12" max="12" width="20" style="4" customWidth="1"/>
  </cols>
  <sheetData>
    <row r="1" spans="1:12" x14ac:dyDescent="0.35">
      <c r="A1" s="1" t="s">
        <v>0</v>
      </c>
      <c r="B1" s="1" t="s">
        <v>1</v>
      </c>
      <c r="C1" s="1" t="s">
        <v>2</v>
      </c>
      <c r="D1" s="1" t="s">
        <v>3</v>
      </c>
      <c r="E1" s="1" t="s">
        <v>4</v>
      </c>
      <c r="F1" s="1" t="s">
        <v>5</v>
      </c>
      <c r="G1" s="1" t="s">
        <v>6</v>
      </c>
      <c r="H1" s="1" t="s">
        <v>7</v>
      </c>
      <c r="I1" s="1" t="s">
        <v>8</v>
      </c>
      <c r="J1" s="1" t="s">
        <v>9</v>
      </c>
      <c r="K1" s="1" t="s">
        <v>10</v>
      </c>
      <c r="L1" s="1" t="s">
        <v>11</v>
      </c>
    </row>
    <row r="2" spans="1:12" x14ac:dyDescent="0.35">
      <c r="A2" s="2" t="s">
        <v>12</v>
      </c>
      <c r="B2" s="2" t="s">
        <v>13</v>
      </c>
      <c r="C2" s="2" t="s">
        <v>14</v>
      </c>
      <c r="D2" s="2">
        <v>49</v>
      </c>
      <c r="E2" s="2">
        <v>84</v>
      </c>
      <c r="F2" s="2">
        <v>98</v>
      </c>
      <c r="G2" s="2">
        <v>67</v>
      </c>
      <c r="H2" s="2">
        <v>41</v>
      </c>
      <c r="I2" s="2">
        <v>339</v>
      </c>
      <c r="J2" s="2">
        <v>500</v>
      </c>
      <c r="K2" s="3">
        <v>0.67800000000000005</v>
      </c>
      <c r="L2" s="3">
        <v>0.32200000000000001</v>
      </c>
    </row>
    <row r="3" spans="1:12" x14ac:dyDescent="0.35">
      <c r="A3" s="2" t="s">
        <v>15</v>
      </c>
      <c r="B3" s="2" t="s">
        <v>16</v>
      </c>
      <c r="C3" s="2" t="s">
        <v>17</v>
      </c>
      <c r="D3" s="2">
        <v>44</v>
      </c>
      <c r="E3" s="2">
        <v>85</v>
      </c>
      <c r="F3" s="2">
        <v>47</v>
      </c>
      <c r="G3" s="2">
        <v>15</v>
      </c>
      <c r="H3" s="2">
        <v>48</v>
      </c>
      <c r="I3" s="2">
        <v>239</v>
      </c>
      <c r="J3" s="2">
        <v>500</v>
      </c>
      <c r="K3" s="3">
        <v>0.47799999999999998</v>
      </c>
      <c r="L3" s="3">
        <v>0.52200000000000002</v>
      </c>
    </row>
    <row r="4" spans="1:12" x14ac:dyDescent="0.35">
      <c r="A4" s="2" t="s">
        <v>18</v>
      </c>
      <c r="B4" s="2" t="s">
        <v>19</v>
      </c>
      <c r="C4" s="2" t="s">
        <v>20</v>
      </c>
      <c r="D4" s="2">
        <v>45</v>
      </c>
      <c r="E4" s="2">
        <v>79</v>
      </c>
      <c r="F4" s="2">
        <v>88</v>
      </c>
      <c r="G4" s="2">
        <v>73</v>
      </c>
      <c r="H4" s="2">
        <v>94</v>
      </c>
      <c r="I4" s="2">
        <v>379</v>
      </c>
      <c r="J4" s="2">
        <v>500</v>
      </c>
      <c r="K4" s="3">
        <v>0.75800000000000001</v>
      </c>
      <c r="L4" s="3">
        <v>0.24199999999999999</v>
      </c>
    </row>
    <row r="5" spans="1:12" x14ac:dyDescent="0.35">
      <c r="A5" s="2" t="s">
        <v>21</v>
      </c>
      <c r="B5" s="2" t="s">
        <v>22</v>
      </c>
      <c r="C5" s="2" t="s">
        <v>23</v>
      </c>
      <c r="D5" s="2">
        <v>52</v>
      </c>
      <c r="E5" s="2">
        <v>99</v>
      </c>
      <c r="F5" s="2">
        <v>13</v>
      </c>
      <c r="G5" s="2">
        <v>95</v>
      </c>
      <c r="H5" s="2">
        <v>29</v>
      </c>
      <c r="I5" s="2">
        <v>288</v>
      </c>
      <c r="J5" s="2">
        <v>500</v>
      </c>
      <c r="K5" s="3">
        <v>0.57599999999999996</v>
      </c>
      <c r="L5" s="3">
        <v>0.42399999999999999</v>
      </c>
    </row>
    <row r="6" spans="1:12" x14ac:dyDescent="0.35">
      <c r="A6" s="2" t="s">
        <v>24</v>
      </c>
      <c r="B6" s="2" t="s">
        <v>25</v>
      </c>
      <c r="C6" s="2" t="s">
        <v>26</v>
      </c>
      <c r="D6" s="2">
        <v>35</v>
      </c>
      <c r="E6" s="2">
        <v>54</v>
      </c>
      <c r="F6" s="2">
        <v>49</v>
      </c>
      <c r="G6" s="2">
        <v>26</v>
      </c>
      <c r="H6" s="2">
        <v>49</v>
      </c>
      <c r="I6" s="2">
        <v>213</v>
      </c>
      <c r="J6" s="2">
        <v>500</v>
      </c>
      <c r="K6" s="3">
        <v>0.42599999999999999</v>
      </c>
      <c r="L6" s="3">
        <v>0.57399999999999995</v>
      </c>
    </row>
    <row r="7" spans="1:12" x14ac:dyDescent="0.35">
      <c r="A7" s="2" t="s">
        <v>27</v>
      </c>
      <c r="B7" s="2" t="s">
        <v>28</v>
      </c>
      <c r="C7" s="2" t="s">
        <v>29</v>
      </c>
      <c r="D7" s="2">
        <v>86</v>
      </c>
      <c r="E7" s="2">
        <v>31</v>
      </c>
      <c r="F7" s="2">
        <v>23</v>
      </c>
      <c r="G7" s="2">
        <v>48</v>
      </c>
      <c r="H7" s="2">
        <v>77</v>
      </c>
      <c r="I7" s="2">
        <v>265</v>
      </c>
      <c r="J7" s="2">
        <v>500</v>
      </c>
      <c r="K7" s="3">
        <v>0.53</v>
      </c>
      <c r="L7" s="3">
        <v>0.47</v>
      </c>
    </row>
    <row r="8" spans="1:12" x14ac:dyDescent="0.35">
      <c r="A8" s="2" t="s">
        <v>30</v>
      </c>
      <c r="B8" s="2" t="s">
        <v>31</v>
      </c>
      <c r="C8" s="2" t="s">
        <v>32</v>
      </c>
      <c r="D8" s="2">
        <v>84</v>
      </c>
      <c r="E8" s="2">
        <v>28</v>
      </c>
      <c r="F8" s="2">
        <v>98</v>
      </c>
      <c r="G8" s="2">
        <v>80</v>
      </c>
      <c r="H8" s="2">
        <v>79</v>
      </c>
      <c r="I8" s="2">
        <v>369</v>
      </c>
      <c r="J8" s="2">
        <v>500</v>
      </c>
      <c r="K8" s="3">
        <v>0.73799999999999999</v>
      </c>
      <c r="L8" s="3">
        <v>0.26200000000000001</v>
      </c>
    </row>
    <row r="9" spans="1:12" x14ac:dyDescent="0.35">
      <c r="A9" s="2" t="s">
        <v>33</v>
      </c>
      <c r="B9" s="2" t="s">
        <v>34</v>
      </c>
      <c r="C9" s="2" t="s">
        <v>35</v>
      </c>
      <c r="D9" s="2">
        <v>73</v>
      </c>
      <c r="E9" s="2">
        <v>97</v>
      </c>
      <c r="F9" s="2">
        <v>38</v>
      </c>
      <c r="G9" s="2">
        <v>24</v>
      </c>
      <c r="H9" s="2">
        <v>53</v>
      </c>
      <c r="I9" s="2">
        <v>285</v>
      </c>
      <c r="J9" s="2">
        <v>500</v>
      </c>
      <c r="K9" s="3">
        <v>0.56999999999999995</v>
      </c>
      <c r="L9" s="3">
        <v>0.43</v>
      </c>
    </row>
    <row r="10" spans="1:12" x14ac:dyDescent="0.35">
      <c r="A10" s="2" t="s">
        <v>36</v>
      </c>
      <c r="B10" s="2" t="s">
        <v>37</v>
      </c>
      <c r="C10" s="2" t="s">
        <v>14</v>
      </c>
      <c r="D10" s="2">
        <v>54</v>
      </c>
      <c r="E10" s="2">
        <v>26</v>
      </c>
      <c r="F10" s="2">
        <v>53</v>
      </c>
      <c r="G10" s="2">
        <v>36</v>
      </c>
      <c r="H10" s="2">
        <v>20</v>
      </c>
      <c r="I10" s="2">
        <v>189</v>
      </c>
      <c r="J10" s="2">
        <v>500</v>
      </c>
      <c r="K10" s="3">
        <v>0.378</v>
      </c>
      <c r="L10" s="3">
        <v>0.622</v>
      </c>
    </row>
    <row r="11" spans="1:12" x14ac:dyDescent="0.35">
      <c r="A11" s="2" t="s">
        <v>38</v>
      </c>
      <c r="B11" s="2" t="s">
        <v>39</v>
      </c>
      <c r="C11" s="2" t="s">
        <v>17</v>
      </c>
      <c r="D11" s="2">
        <v>52</v>
      </c>
      <c r="E11" s="2">
        <v>52</v>
      </c>
      <c r="F11" s="2">
        <v>19</v>
      </c>
      <c r="G11" s="2">
        <v>53</v>
      </c>
      <c r="H11" s="2">
        <v>37</v>
      </c>
      <c r="I11" s="2">
        <v>213</v>
      </c>
      <c r="J11" s="2">
        <v>500</v>
      </c>
      <c r="K11" s="3">
        <v>0.42599999999999999</v>
      </c>
      <c r="L11" s="3">
        <v>0.57399999999999995</v>
      </c>
    </row>
    <row r="12" spans="1:12" x14ac:dyDescent="0.35">
      <c r="A12" s="2" t="s">
        <v>40</v>
      </c>
      <c r="B12" s="2" t="s">
        <v>41</v>
      </c>
      <c r="C12" s="2" t="s">
        <v>20</v>
      </c>
      <c r="D12" s="2">
        <v>63</v>
      </c>
      <c r="E12" s="2">
        <v>17</v>
      </c>
      <c r="F12" s="2">
        <v>40</v>
      </c>
      <c r="G12" s="2">
        <v>48</v>
      </c>
      <c r="H12" s="2">
        <v>51</v>
      </c>
      <c r="I12" s="2">
        <v>219</v>
      </c>
      <c r="J12" s="2">
        <v>500</v>
      </c>
      <c r="K12" s="3">
        <v>0.438</v>
      </c>
      <c r="L12" s="3">
        <v>0.56200000000000006</v>
      </c>
    </row>
    <row r="13" spans="1:12" x14ac:dyDescent="0.35">
      <c r="A13" s="2" t="s">
        <v>42</v>
      </c>
      <c r="B13" s="2" t="s">
        <v>43</v>
      </c>
      <c r="C13" s="2" t="s">
        <v>23</v>
      </c>
      <c r="D13" s="2">
        <v>79</v>
      </c>
      <c r="E13" s="2">
        <v>99</v>
      </c>
      <c r="F13" s="2">
        <v>95</v>
      </c>
      <c r="G13" s="2">
        <v>12</v>
      </c>
      <c r="H13" s="2">
        <v>91</v>
      </c>
      <c r="I13" s="2">
        <v>376</v>
      </c>
      <c r="J13" s="2">
        <v>500</v>
      </c>
      <c r="K13" s="3">
        <v>0.752</v>
      </c>
      <c r="L13" s="3">
        <v>0.248</v>
      </c>
    </row>
    <row r="14" spans="1:12" x14ac:dyDescent="0.35">
      <c r="A14" s="2" t="s">
        <v>44</v>
      </c>
      <c r="B14" s="2" t="s">
        <v>45</v>
      </c>
      <c r="C14" s="2" t="s">
        <v>26</v>
      </c>
      <c r="D14" s="2">
        <v>95</v>
      </c>
      <c r="E14" s="2">
        <v>88</v>
      </c>
      <c r="F14" s="2">
        <v>11</v>
      </c>
      <c r="G14" s="2">
        <v>78</v>
      </c>
      <c r="H14" s="2">
        <v>60</v>
      </c>
      <c r="I14" s="2">
        <v>332</v>
      </c>
      <c r="J14" s="2">
        <v>500</v>
      </c>
      <c r="K14" s="3">
        <v>0.66400000000000003</v>
      </c>
      <c r="L14" s="3">
        <v>0.33600000000000002</v>
      </c>
    </row>
    <row r="15" spans="1:12" x14ac:dyDescent="0.35">
      <c r="A15" s="2" t="s">
        <v>46</v>
      </c>
      <c r="B15" s="2" t="s">
        <v>47</v>
      </c>
      <c r="C15" s="2" t="s">
        <v>29</v>
      </c>
      <c r="D15" s="2">
        <v>83</v>
      </c>
      <c r="E15" s="2">
        <v>77</v>
      </c>
      <c r="F15" s="2">
        <v>66</v>
      </c>
      <c r="G15" s="2">
        <v>22</v>
      </c>
      <c r="H15" s="2">
        <v>40</v>
      </c>
      <c r="I15" s="2">
        <v>288</v>
      </c>
      <c r="J15" s="2">
        <v>500</v>
      </c>
      <c r="K15" s="3">
        <v>0.57599999999999996</v>
      </c>
      <c r="L15" s="3">
        <v>0.42399999999999999</v>
      </c>
    </row>
    <row r="16" spans="1:12" x14ac:dyDescent="0.35">
      <c r="A16" s="2" t="s">
        <v>48</v>
      </c>
      <c r="B16" s="2" t="s">
        <v>49</v>
      </c>
      <c r="C16" s="2" t="s">
        <v>32</v>
      </c>
      <c r="D16" s="2">
        <v>78</v>
      </c>
      <c r="E16" s="2">
        <v>58</v>
      </c>
      <c r="F16" s="2">
        <v>34</v>
      </c>
      <c r="G16" s="2">
        <v>84</v>
      </c>
      <c r="H16" s="2">
        <v>31</v>
      </c>
      <c r="I16" s="2">
        <v>285</v>
      </c>
      <c r="J16" s="2">
        <v>500</v>
      </c>
      <c r="K16" s="3">
        <v>0.56999999999999995</v>
      </c>
      <c r="L16" s="3">
        <v>0.43</v>
      </c>
    </row>
    <row r="17" spans="1:12" x14ac:dyDescent="0.35">
      <c r="A17" s="2" t="s">
        <v>50</v>
      </c>
      <c r="B17" s="2" t="s">
        <v>51</v>
      </c>
      <c r="C17" s="2" t="s">
        <v>35</v>
      </c>
      <c r="D17" s="2">
        <v>14</v>
      </c>
      <c r="E17" s="2">
        <v>25</v>
      </c>
      <c r="F17" s="2">
        <v>45</v>
      </c>
      <c r="G17" s="2">
        <v>70</v>
      </c>
      <c r="H17" s="2">
        <v>45</v>
      </c>
      <c r="I17" s="2">
        <v>199</v>
      </c>
      <c r="J17" s="2">
        <v>500</v>
      </c>
      <c r="K17" s="3">
        <v>0.39800000000000002</v>
      </c>
      <c r="L17" s="3">
        <v>0.60199999999999998</v>
      </c>
    </row>
    <row r="18" spans="1:12" x14ac:dyDescent="0.35">
      <c r="A18" s="2" t="s">
        <v>52</v>
      </c>
      <c r="B18" s="2" t="s">
        <v>53</v>
      </c>
      <c r="C18" s="2" t="s">
        <v>14</v>
      </c>
      <c r="D18" s="2">
        <v>37</v>
      </c>
      <c r="E18" s="2">
        <v>69</v>
      </c>
      <c r="F18" s="2">
        <v>96</v>
      </c>
      <c r="G18" s="2">
        <v>66</v>
      </c>
      <c r="H18" s="2">
        <v>38</v>
      </c>
      <c r="I18" s="2">
        <v>306</v>
      </c>
      <c r="J18" s="2">
        <v>500</v>
      </c>
      <c r="K18" s="3">
        <v>0.61199999999999999</v>
      </c>
      <c r="L18" s="3">
        <v>0.38800000000000001</v>
      </c>
    </row>
    <row r="19" spans="1:12" x14ac:dyDescent="0.35">
      <c r="A19" s="2" t="s">
        <v>54</v>
      </c>
      <c r="B19" s="2" t="s">
        <v>55</v>
      </c>
      <c r="C19" s="2" t="s">
        <v>17</v>
      </c>
      <c r="D19" s="2">
        <v>11</v>
      </c>
      <c r="E19" s="2">
        <v>46</v>
      </c>
      <c r="F19" s="2">
        <v>91</v>
      </c>
      <c r="G19" s="2">
        <v>98</v>
      </c>
      <c r="H19" s="2">
        <v>45</v>
      </c>
      <c r="I19" s="2">
        <v>291</v>
      </c>
      <c r="J19" s="2">
        <v>500</v>
      </c>
      <c r="K19" s="3">
        <v>0.58199999999999996</v>
      </c>
      <c r="L19" s="3">
        <v>0.41799999999999998</v>
      </c>
    </row>
    <row r="20" spans="1:12" x14ac:dyDescent="0.35">
      <c r="A20" s="2" t="s">
        <v>56</v>
      </c>
      <c r="B20" s="2" t="s">
        <v>57</v>
      </c>
      <c r="C20" s="2" t="s">
        <v>20</v>
      </c>
      <c r="D20" s="2">
        <v>19</v>
      </c>
      <c r="E20" s="2">
        <v>34</v>
      </c>
      <c r="F20" s="2">
        <v>64</v>
      </c>
      <c r="G20" s="2">
        <v>65</v>
      </c>
      <c r="H20" s="2">
        <v>70</v>
      </c>
      <c r="I20" s="2">
        <v>252</v>
      </c>
      <c r="J20" s="2">
        <v>500</v>
      </c>
      <c r="K20" s="3">
        <v>0.504</v>
      </c>
      <c r="L20" s="3">
        <v>0.496</v>
      </c>
    </row>
    <row r="21" spans="1:12" x14ac:dyDescent="0.35">
      <c r="A21" s="2" t="s">
        <v>58</v>
      </c>
      <c r="B21" s="2" t="s">
        <v>59</v>
      </c>
      <c r="C21" s="2" t="s">
        <v>23</v>
      </c>
      <c r="D21" s="2">
        <v>93</v>
      </c>
      <c r="E21" s="2">
        <v>84</v>
      </c>
      <c r="F21" s="2">
        <v>13</v>
      </c>
      <c r="G21" s="2">
        <v>45</v>
      </c>
      <c r="H21" s="2">
        <v>18</v>
      </c>
      <c r="I21" s="2">
        <v>253</v>
      </c>
      <c r="J21" s="2">
        <v>500</v>
      </c>
      <c r="K21" s="3">
        <v>0.50600000000000001</v>
      </c>
      <c r="L21" s="3">
        <v>0.49399999999999999</v>
      </c>
    </row>
    <row r="22" spans="1:12" x14ac:dyDescent="0.35">
      <c r="A22" s="2" t="s">
        <v>60</v>
      </c>
      <c r="B22" s="2" t="s">
        <v>61</v>
      </c>
      <c r="C22" s="2" t="s">
        <v>26</v>
      </c>
      <c r="D22" s="2">
        <v>68</v>
      </c>
      <c r="E22" s="2">
        <v>73</v>
      </c>
      <c r="F22" s="2">
        <v>97</v>
      </c>
      <c r="G22" s="2">
        <v>76</v>
      </c>
      <c r="H22" s="2">
        <v>53</v>
      </c>
      <c r="I22" s="2">
        <v>367</v>
      </c>
      <c r="J22" s="2">
        <v>500</v>
      </c>
      <c r="K22" s="3">
        <v>0.73399999999999999</v>
      </c>
      <c r="L22" s="3">
        <v>0.26600000000000001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Sales Performance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Bilal Rafique</cp:lastModifiedBy>
  <dcterms:created xsi:type="dcterms:W3CDTF">2026-04-03T07:01:27Z</dcterms:created>
  <dcterms:modified xsi:type="dcterms:W3CDTF">2026-04-03T08:10:38Z</dcterms:modified>
</cp:coreProperties>
</file>